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2FAA7BE6-4EBB-40B7-A353-0607440726F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1" l="1"/>
  <c r="F27" i="1"/>
  <c r="G27" i="1"/>
  <c r="D27" i="1"/>
  <c r="E25" i="1"/>
  <c r="F25" i="1"/>
  <c r="G25" i="1"/>
  <c r="E26" i="1"/>
  <c r="F26" i="1"/>
  <c r="G26" i="1"/>
  <c r="D26" i="1"/>
  <c r="D25" i="1"/>
  <c r="L6" i="1"/>
  <c r="J6" i="1"/>
  <c r="K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I7" i="1"/>
  <c r="N7" i="1" s="1"/>
  <c r="I8" i="1"/>
  <c r="N8" i="1" s="1"/>
  <c r="I9" i="1"/>
  <c r="N9" i="1" s="1"/>
  <c r="I10" i="1"/>
  <c r="N10" i="1" s="1"/>
  <c r="I11" i="1"/>
  <c r="N11" i="1" s="1"/>
  <c r="I12" i="1"/>
  <c r="N12" i="1" s="1"/>
  <c r="I13" i="1"/>
  <c r="N13" i="1" s="1"/>
  <c r="I14" i="1"/>
  <c r="N14" i="1" s="1"/>
  <c r="I15" i="1"/>
  <c r="N15" i="1" s="1"/>
  <c r="I16" i="1"/>
  <c r="N16" i="1" s="1"/>
  <c r="I17" i="1"/>
  <c r="N17" i="1" s="1"/>
  <c r="I18" i="1"/>
  <c r="N18" i="1" s="1"/>
  <c r="I19" i="1"/>
  <c r="N19" i="1" s="1"/>
  <c r="I20" i="1"/>
  <c r="N20" i="1" s="1"/>
  <c r="I21" i="1"/>
  <c r="N21" i="1" s="1"/>
  <c r="I22" i="1"/>
  <c r="N22" i="1" s="1"/>
  <c r="I6" i="1"/>
  <c r="I27" i="1" l="1"/>
  <c r="I26" i="1"/>
  <c r="I25" i="1"/>
  <c r="N6" i="1"/>
  <c r="K27" i="1"/>
  <c r="K26" i="1"/>
  <c r="K25" i="1"/>
  <c r="J27" i="1"/>
  <c r="J26" i="1"/>
  <c r="J25" i="1"/>
  <c r="L27" i="1"/>
  <c r="L26" i="1"/>
  <c r="L25" i="1"/>
</calcChain>
</file>

<file path=xl/sharedStrings.xml><?xml version="1.0" encoding="utf-8"?>
<sst xmlns="http://schemas.openxmlformats.org/spreadsheetml/2006/main" count="54" uniqueCount="50">
  <si>
    <t>Grade Book</t>
  </si>
  <si>
    <t>Safety Test</t>
  </si>
  <si>
    <t>Company Philosophy Test</t>
  </si>
  <si>
    <t>Financial Skills Test</t>
  </si>
  <si>
    <t>Drug Test</t>
  </si>
  <si>
    <t>Fire Employee?</t>
  </si>
  <si>
    <t>Points Possible</t>
  </si>
  <si>
    <t>Last Name</t>
  </si>
  <si>
    <t>First Name</t>
  </si>
  <si>
    <t>Sharma</t>
  </si>
  <si>
    <t>Aarav</t>
  </si>
  <si>
    <t>Nair</t>
  </si>
  <si>
    <t>Priya</t>
  </si>
  <si>
    <t>Mehta</t>
  </si>
  <si>
    <t>Rahul</t>
  </si>
  <si>
    <t>Iyer</t>
  </si>
  <si>
    <t>Ananya</t>
  </si>
  <si>
    <t>Reddy</t>
  </si>
  <si>
    <t>Karthik</t>
  </si>
  <si>
    <t>Patel</t>
  </si>
  <si>
    <t>Sneha</t>
  </si>
  <si>
    <t>Kumar</t>
  </si>
  <si>
    <t>Arjun</t>
  </si>
  <si>
    <t>Menon</t>
  </si>
  <si>
    <t>Divya</t>
  </si>
  <si>
    <t>Verma</t>
  </si>
  <si>
    <t>Rohan</t>
  </si>
  <si>
    <t>Rao</t>
  </si>
  <si>
    <t>Kavya</t>
  </si>
  <si>
    <t>Joshi</t>
  </si>
  <si>
    <t>Aditya</t>
  </si>
  <si>
    <t>Krishnan</t>
  </si>
  <si>
    <t>Meera</t>
  </si>
  <si>
    <t>Singh</t>
  </si>
  <si>
    <t>Vikram</t>
  </si>
  <si>
    <t>Kapoor</t>
  </si>
  <si>
    <t>Neha</t>
  </si>
  <si>
    <t>Desai</t>
  </si>
  <si>
    <t>Sanjay</t>
  </si>
  <si>
    <t>Shah</t>
  </si>
  <si>
    <t>Pooja</t>
  </si>
  <si>
    <t>Malhotra</t>
  </si>
  <si>
    <t>Nikhil</t>
  </si>
  <si>
    <t>Max</t>
  </si>
  <si>
    <t>Min</t>
  </si>
  <si>
    <t>Average</t>
  </si>
  <si>
    <t>Column 1</t>
  </si>
  <si>
    <t>Column 2</t>
  </si>
  <si>
    <t>Column 3</t>
  </si>
  <si>
    <t>Column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</si>
</sst>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Google Sans"/>
      <charset val="1"/>
    </font>
    <font>
      <sz val="11"/>
      <color theme="1"/>
      <name val="Google Sans"/>
      <charset val="1"/>
    </font>
    <font>
      <b/>
      <i/>
      <sz val="11"/>
      <color theme="1"/>
      <name val="Calibri"/>
      <family val="2"/>
      <scheme val="minor"/>
    </font>
    <font>
      <sz val="4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44474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3" fillId="0" borderId="2" xfId="0" applyFont="1" applyBorder="1"/>
    <xf numFmtId="9" fontId="0" fillId="0" borderId="2" xfId="0" applyNumberFormat="1" applyBorder="1"/>
    <xf numFmtId="10" fontId="0" fillId="0" borderId="2" xfId="0" applyNumberFormat="1" applyBorder="1"/>
    <xf numFmtId="0" fontId="1" fillId="0" borderId="2" xfId="0" applyFont="1" applyBorder="1" applyAlignment="1">
      <alignment textRotation="90"/>
    </xf>
    <xf numFmtId="0" fontId="0" fillId="0" borderId="5" xfId="0" applyBorder="1"/>
    <xf numFmtId="0" fontId="1" fillId="0" borderId="6" xfId="0" applyFont="1" applyBorder="1" applyAlignment="1">
      <alignment textRotation="90"/>
    </xf>
    <xf numFmtId="9" fontId="0" fillId="0" borderId="3" xfId="0" applyNumberFormat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9" xfId="0" applyBorder="1"/>
    <xf numFmtId="0" fontId="3" fillId="0" borderId="3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9" fontId="0" fillId="0" borderId="6" xfId="0" applyNumberFormat="1" applyBorder="1"/>
    <xf numFmtId="10" fontId="3" fillId="0" borderId="3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2" borderId="1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0" borderId="16" xfId="0" applyFont="1" applyBorder="1"/>
    <xf numFmtId="0" fontId="4" fillId="0" borderId="4" xfId="0" applyFont="1" applyBorder="1"/>
    <xf numFmtId="0" fontId="1" fillId="0" borderId="2" xfId="0" applyFont="1" applyBorder="1" applyAlignment="1">
      <alignment vertical="center" textRotation="9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layout>
        <c:manualLayout>
          <c:xMode val="edge"/>
          <c:yMode val="edge"/>
          <c:x val="0.40990969297287244"/>
          <c:y val="3.055561913384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Sheet1!$A$6:$A$22</c:f>
              <c:strCache>
                <c:ptCount val="17"/>
                <c:pt idx="0">
                  <c:v>Sharma</c:v>
                </c:pt>
                <c:pt idx="1">
                  <c:v>Nair</c:v>
                </c:pt>
                <c:pt idx="2">
                  <c:v>Mehta</c:v>
                </c:pt>
                <c:pt idx="3">
                  <c:v>Iyer</c:v>
                </c:pt>
                <c:pt idx="4">
                  <c:v>Reddy</c:v>
                </c:pt>
                <c:pt idx="5">
                  <c:v>Patel</c:v>
                </c:pt>
                <c:pt idx="6">
                  <c:v>Kumar</c:v>
                </c:pt>
                <c:pt idx="7">
                  <c:v>Menon</c:v>
                </c:pt>
                <c:pt idx="8">
                  <c:v>Verma</c:v>
                </c:pt>
                <c:pt idx="9">
                  <c:v>Rao</c:v>
                </c:pt>
                <c:pt idx="10">
                  <c:v>Joshi</c:v>
                </c:pt>
                <c:pt idx="11">
                  <c:v>Krishnan</c:v>
                </c:pt>
                <c:pt idx="12">
                  <c:v>Singh</c:v>
                </c:pt>
                <c:pt idx="13">
                  <c:v>Kapoor</c:v>
                </c:pt>
                <c:pt idx="14">
                  <c:v>Desai</c:v>
                </c:pt>
                <c:pt idx="15">
                  <c:v>Shah</c:v>
                </c:pt>
                <c:pt idx="16">
                  <c:v>Malhotra</c:v>
                </c:pt>
              </c:strCache>
            </c:strRef>
          </c:cat>
          <c:val>
            <c:numRef>
              <c:f>Sheet1!$D$6:$D$22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0-42BD-A5A9-DF1B2E912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933704"/>
        <c:axId val="1786329096"/>
      </c:barChart>
      <c:catAx>
        <c:axId val="177993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29096"/>
        <c:crosses val="autoZero"/>
        <c:auto val="1"/>
        <c:lblAlgn val="ctr"/>
        <c:lblOffset val="100"/>
        <c:noMultiLvlLbl val="0"/>
      </c:catAx>
      <c:valAx>
        <c:axId val="178632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3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Sheet1!A6:A22</c:f>
              <c:strCache>
                <c:ptCount val="17"/>
                <c:pt idx="0">
                  <c:v>Sharma</c:v>
                </c:pt>
                <c:pt idx="1">
                  <c:v>Nair</c:v>
                </c:pt>
                <c:pt idx="2">
                  <c:v>Mehta</c:v>
                </c:pt>
                <c:pt idx="3">
                  <c:v>Iyer</c:v>
                </c:pt>
                <c:pt idx="4">
                  <c:v>Reddy</c:v>
                </c:pt>
                <c:pt idx="5">
                  <c:v>Patel</c:v>
                </c:pt>
                <c:pt idx="6">
                  <c:v>Kumar</c:v>
                </c:pt>
                <c:pt idx="7">
                  <c:v>Menon</c:v>
                </c:pt>
                <c:pt idx="8">
                  <c:v>Verma</c:v>
                </c:pt>
                <c:pt idx="9">
                  <c:v>Rao</c:v>
                </c:pt>
                <c:pt idx="10">
                  <c:v>Joshi</c:v>
                </c:pt>
                <c:pt idx="11">
                  <c:v>Krishnan</c:v>
                </c:pt>
                <c:pt idx="12">
                  <c:v>Singh</c:v>
                </c:pt>
                <c:pt idx="13">
                  <c:v>Kapoor</c:v>
                </c:pt>
                <c:pt idx="14">
                  <c:v>Desai</c:v>
                </c:pt>
                <c:pt idx="15">
                  <c:v>Shah</c:v>
                </c:pt>
                <c:pt idx="16">
                  <c:v>Malhotra</c:v>
                </c:pt>
              </c:strCache>
            </c:strRef>
          </c:cat>
          <c:val>
            <c:numRef>
              <c:f>Sheet1!$E$6:$E$22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3-43CF-B9D2-83AC179B6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064712"/>
        <c:axId val="1485070856"/>
      </c:barChart>
      <c:catAx>
        <c:axId val="148506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070856"/>
        <c:crosses val="autoZero"/>
        <c:auto val="1"/>
        <c:lblAlgn val="ctr"/>
        <c:lblOffset val="100"/>
        <c:noMultiLvlLbl val="0"/>
      </c:catAx>
      <c:valAx>
        <c:axId val="148507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06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Sheet1!A6:A22</c:f>
              <c:strCache>
                <c:ptCount val="17"/>
                <c:pt idx="0">
                  <c:v>Sharma</c:v>
                </c:pt>
                <c:pt idx="1">
                  <c:v>Nair</c:v>
                </c:pt>
                <c:pt idx="2">
                  <c:v>Mehta</c:v>
                </c:pt>
                <c:pt idx="3">
                  <c:v>Iyer</c:v>
                </c:pt>
                <c:pt idx="4">
                  <c:v>Reddy</c:v>
                </c:pt>
                <c:pt idx="5">
                  <c:v>Patel</c:v>
                </c:pt>
                <c:pt idx="6">
                  <c:v>Kumar</c:v>
                </c:pt>
                <c:pt idx="7">
                  <c:v>Menon</c:v>
                </c:pt>
                <c:pt idx="8">
                  <c:v>Verma</c:v>
                </c:pt>
                <c:pt idx="9">
                  <c:v>Rao</c:v>
                </c:pt>
                <c:pt idx="10">
                  <c:v>Joshi</c:v>
                </c:pt>
                <c:pt idx="11">
                  <c:v>Krishnan</c:v>
                </c:pt>
                <c:pt idx="12">
                  <c:v>Singh</c:v>
                </c:pt>
                <c:pt idx="13">
                  <c:v>Kapoor</c:v>
                </c:pt>
                <c:pt idx="14">
                  <c:v>Desai</c:v>
                </c:pt>
                <c:pt idx="15">
                  <c:v>Shah</c:v>
                </c:pt>
                <c:pt idx="16">
                  <c:v>Malhotra</c:v>
                </c:pt>
              </c:strCache>
            </c:strRef>
          </c:cat>
          <c:val>
            <c:numRef>
              <c:f>Sheet1!$F$6:$F$22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4-4A6E-B992-38D99E8C0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659912"/>
        <c:axId val="1569661960"/>
      </c:barChart>
      <c:catAx>
        <c:axId val="156965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61960"/>
        <c:crosses val="autoZero"/>
        <c:auto val="1"/>
        <c:lblAlgn val="ctr"/>
        <c:lblOffset val="100"/>
        <c:noMultiLvlLbl val="0"/>
      </c:catAx>
      <c:valAx>
        <c:axId val="156966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5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523875</xdr:colOff>
      <xdr:row>2</xdr:row>
      <xdr:rowOff>1533525</xdr:rowOff>
    </xdr:from>
    <xdr:to>
      <xdr:col>22</xdr:col>
      <xdr:colOff>219075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67A38-EAB2-DF90-9138-617B04E0B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561975</xdr:colOff>
      <xdr:row>18</xdr:row>
      <xdr:rowOff>9525</xdr:rowOff>
    </xdr:from>
    <xdr:to>
      <xdr:col>22</xdr:col>
      <xdr:colOff>257175</xdr:colOff>
      <xdr:row>32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352C0E-4985-FCFD-72E2-BF6668762F1B}"/>
            </a:ext>
            <a:ext uri="{147F2762-F138-4A5C-976F-8EAC2B608ADB}">
              <a16:predDERef xmlns:a16="http://schemas.microsoft.com/office/drawing/2014/main" pred="{18267A38-EAB2-DF90-9138-617B04E0B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542925</xdr:colOff>
      <xdr:row>33</xdr:row>
      <xdr:rowOff>133350</xdr:rowOff>
    </xdr:from>
    <xdr:to>
      <xdr:col>22</xdr:col>
      <xdr:colOff>238125</xdr:colOff>
      <xdr:row>48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C4ACDC-AB20-BE51-7D80-53484E6E21CD}"/>
            </a:ext>
            <a:ext uri="{147F2762-F138-4A5C-976F-8EAC2B608ADB}">
              <a16:predDERef xmlns:a16="http://schemas.microsoft.com/office/drawing/2014/main" pred="{74352C0E-4985-FCFD-72E2-BF6668762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D4" sqref="D4:G4"/>
    </sheetView>
  </sheetViews>
  <sheetFormatPr defaultRowHeight="15"/>
  <cols>
    <col min="1" max="1" width="11.28515625" bestFit="1" customWidth="1"/>
    <col min="2" max="2" width="14.28515625" bestFit="1" customWidth="1"/>
    <col min="4" max="4" width="5.7109375" bestFit="1" customWidth="1"/>
    <col min="5" max="5" width="7.42578125" customWidth="1"/>
    <col min="6" max="6" width="6.85546875" bestFit="1" customWidth="1"/>
    <col min="7" max="7" width="6.85546875" customWidth="1"/>
    <col min="9" max="12" width="9.140625" bestFit="1" customWidth="1"/>
    <col min="14" max="14" width="7.28515625" customWidth="1"/>
  </cols>
  <sheetData>
    <row r="1" spans="1:14" ht="61.5">
      <c r="C1" s="36" t="s">
        <v>0</v>
      </c>
      <c r="D1" s="37"/>
      <c r="E1" s="37"/>
      <c r="F1" s="37"/>
      <c r="G1" s="37"/>
      <c r="H1" s="37"/>
      <c r="I1" s="37"/>
      <c r="J1" s="38"/>
    </row>
    <row r="3" spans="1:14" ht="123.75">
      <c r="D3" s="13" t="s">
        <v>1</v>
      </c>
      <c r="E3" s="13" t="s">
        <v>2</v>
      </c>
      <c r="F3" s="13" t="s">
        <v>3</v>
      </c>
      <c r="G3" s="13" t="s">
        <v>4</v>
      </c>
      <c r="H3" s="1"/>
      <c r="I3" s="11" t="s">
        <v>1</v>
      </c>
      <c r="J3" s="11" t="s">
        <v>2</v>
      </c>
      <c r="K3" s="11" t="s">
        <v>3</v>
      </c>
      <c r="L3" s="11" t="s">
        <v>4</v>
      </c>
      <c r="M3" s="1"/>
      <c r="N3" s="13" t="s">
        <v>5</v>
      </c>
    </row>
    <row r="4" spans="1:14" ht="29.25" customHeight="1">
      <c r="A4" s="39"/>
      <c r="B4" s="40" t="s">
        <v>6</v>
      </c>
      <c r="D4" s="41">
        <v>10</v>
      </c>
      <c r="E4" s="41">
        <v>20</v>
      </c>
      <c r="F4" s="41">
        <v>100</v>
      </c>
      <c r="G4" s="41">
        <v>1</v>
      </c>
      <c r="I4" s="16"/>
      <c r="J4" s="15"/>
      <c r="K4" s="15"/>
      <c r="L4" s="17"/>
      <c r="N4" s="19"/>
    </row>
    <row r="5" spans="1:14">
      <c r="A5" s="7" t="s">
        <v>7</v>
      </c>
      <c r="B5" s="7" t="s">
        <v>8</v>
      </c>
      <c r="D5" s="16"/>
      <c r="E5" s="15"/>
      <c r="F5" s="15"/>
      <c r="G5" s="17"/>
      <c r="I5" s="16"/>
      <c r="J5" s="15"/>
      <c r="K5" s="15"/>
      <c r="L5" s="17"/>
      <c r="N5" s="18"/>
    </row>
    <row r="6" spans="1:14">
      <c r="A6" s="6" t="s">
        <v>9</v>
      </c>
      <c r="B6" s="6" t="s">
        <v>10</v>
      </c>
      <c r="D6" s="8">
        <v>10</v>
      </c>
      <c r="E6" s="8">
        <v>19</v>
      </c>
      <c r="F6" s="8">
        <v>93</v>
      </c>
      <c r="G6" s="8">
        <v>1</v>
      </c>
      <c r="I6" s="9">
        <f>D6/D$4</f>
        <v>1</v>
      </c>
      <c r="J6" s="9">
        <f>E6/E$4</f>
        <v>0.95</v>
      </c>
      <c r="K6" s="9">
        <f t="shared" ref="J6:L21" si="0">F6/F$4</f>
        <v>0.93</v>
      </c>
      <c r="L6" s="9">
        <f>G6/G$4</f>
        <v>1</v>
      </c>
      <c r="M6" s="12"/>
      <c r="N6" s="6" t="b">
        <f>OR(I6&lt;0.5,J6&lt;0.5,K6&lt;0.5,L6&lt;0.5)</f>
        <v>0</v>
      </c>
    </row>
    <row r="7" spans="1:14">
      <c r="A7" s="6" t="s">
        <v>11</v>
      </c>
      <c r="B7" s="6" t="s">
        <v>12</v>
      </c>
      <c r="D7" s="20">
        <v>9</v>
      </c>
      <c r="E7" s="20">
        <v>20</v>
      </c>
      <c r="F7" s="20">
        <v>100</v>
      </c>
      <c r="G7" s="20">
        <v>1</v>
      </c>
      <c r="I7" s="14">
        <f t="shared" ref="I7:I22" si="1">D7/D$4</f>
        <v>0.9</v>
      </c>
      <c r="J7" s="14">
        <f t="shared" si="0"/>
        <v>1</v>
      </c>
      <c r="K7" s="14">
        <f t="shared" si="0"/>
        <v>1</v>
      </c>
      <c r="L7" s="14">
        <f t="shared" si="0"/>
        <v>1</v>
      </c>
      <c r="M7" s="12"/>
      <c r="N7" s="6" t="b">
        <f t="shared" ref="N7:N22" si="2">OR(I7&lt;0.5,J7&lt;0.5,K7&lt;0.5,L7&lt;0.5)</f>
        <v>0</v>
      </c>
    </row>
    <row r="8" spans="1:14">
      <c r="A8" s="6" t="s">
        <v>13</v>
      </c>
      <c r="B8" s="6" t="s">
        <v>14</v>
      </c>
      <c r="D8" s="8">
        <v>8</v>
      </c>
      <c r="E8" s="8">
        <v>17</v>
      </c>
      <c r="F8" s="8">
        <v>82</v>
      </c>
      <c r="G8" s="8">
        <v>1</v>
      </c>
      <c r="I8" s="9">
        <f t="shared" si="1"/>
        <v>0.8</v>
      </c>
      <c r="J8" s="9">
        <f t="shared" si="0"/>
        <v>0.85</v>
      </c>
      <c r="K8" s="9">
        <f t="shared" si="0"/>
        <v>0.82</v>
      </c>
      <c r="L8" s="9">
        <f t="shared" si="0"/>
        <v>1</v>
      </c>
      <c r="M8" s="12"/>
      <c r="N8" s="6" t="b">
        <f t="shared" si="2"/>
        <v>0</v>
      </c>
    </row>
    <row r="9" spans="1:14">
      <c r="A9" s="6" t="s">
        <v>15</v>
      </c>
      <c r="B9" s="6" t="s">
        <v>16</v>
      </c>
      <c r="D9" s="8">
        <v>9</v>
      </c>
      <c r="E9" s="8">
        <v>10</v>
      </c>
      <c r="F9" s="8">
        <v>73</v>
      </c>
      <c r="G9" s="8">
        <v>1</v>
      </c>
      <c r="I9" s="9">
        <f t="shared" si="1"/>
        <v>0.9</v>
      </c>
      <c r="J9" s="9">
        <f t="shared" si="0"/>
        <v>0.5</v>
      </c>
      <c r="K9" s="9">
        <f t="shared" si="0"/>
        <v>0.73</v>
      </c>
      <c r="L9" s="9">
        <f t="shared" si="0"/>
        <v>1</v>
      </c>
      <c r="M9" s="12"/>
      <c r="N9" s="6" t="b">
        <f t="shared" si="2"/>
        <v>0</v>
      </c>
    </row>
    <row r="10" spans="1:14">
      <c r="A10" s="6" t="s">
        <v>17</v>
      </c>
      <c r="B10" s="6" t="s">
        <v>18</v>
      </c>
      <c r="D10" s="8">
        <v>10</v>
      </c>
      <c r="E10" s="8">
        <v>20</v>
      </c>
      <c r="F10" s="8">
        <v>59</v>
      </c>
      <c r="G10" s="8">
        <v>1</v>
      </c>
      <c r="I10" s="9">
        <f t="shared" si="1"/>
        <v>1</v>
      </c>
      <c r="J10" s="9">
        <f t="shared" si="0"/>
        <v>1</v>
      </c>
      <c r="K10" s="9">
        <f t="shared" si="0"/>
        <v>0.59</v>
      </c>
      <c r="L10" s="9">
        <f t="shared" si="0"/>
        <v>1</v>
      </c>
      <c r="M10" s="12"/>
      <c r="N10" s="6" t="b">
        <f t="shared" si="2"/>
        <v>0</v>
      </c>
    </row>
    <row r="11" spans="1:14">
      <c r="A11" s="6" t="s">
        <v>19</v>
      </c>
      <c r="B11" s="6" t="s">
        <v>20</v>
      </c>
      <c r="D11" s="8">
        <v>9</v>
      </c>
      <c r="E11" s="8">
        <v>17</v>
      </c>
      <c r="F11" s="8">
        <v>100</v>
      </c>
      <c r="G11" s="8">
        <v>1</v>
      </c>
      <c r="I11" s="9">
        <f t="shared" si="1"/>
        <v>0.9</v>
      </c>
      <c r="J11" s="9">
        <f t="shared" si="0"/>
        <v>0.85</v>
      </c>
      <c r="K11" s="9">
        <f t="shared" si="0"/>
        <v>1</v>
      </c>
      <c r="L11" s="9">
        <f t="shared" si="0"/>
        <v>1</v>
      </c>
      <c r="M11" s="12"/>
      <c r="N11" s="6" t="b">
        <f t="shared" si="2"/>
        <v>0</v>
      </c>
    </row>
    <row r="12" spans="1:14">
      <c r="A12" s="6" t="s">
        <v>21</v>
      </c>
      <c r="B12" s="6" t="s">
        <v>22</v>
      </c>
      <c r="D12" s="8">
        <v>8</v>
      </c>
      <c r="E12" s="8">
        <v>20</v>
      </c>
      <c r="F12" s="8">
        <v>100</v>
      </c>
      <c r="G12" s="8">
        <v>0</v>
      </c>
      <c r="I12" s="9">
        <f t="shared" si="1"/>
        <v>0.8</v>
      </c>
      <c r="J12" s="9">
        <f t="shared" si="0"/>
        <v>1</v>
      </c>
      <c r="K12" s="9">
        <f t="shared" si="0"/>
        <v>1</v>
      </c>
      <c r="L12" s="9">
        <f t="shared" si="0"/>
        <v>0</v>
      </c>
      <c r="M12" s="12"/>
      <c r="N12" s="6" t="b">
        <f t="shared" si="2"/>
        <v>1</v>
      </c>
    </row>
    <row r="13" spans="1:14">
      <c r="A13" s="6" t="s">
        <v>23</v>
      </c>
      <c r="B13" s="6" t="s">
        <v>24</v>
      </c>
      <c r="D13" s="8">
        <v>5</v>
      </c>
      <c r="E13" s="8">
        <v>6</v>
      </c>
      <c r="F13" s="8">
        <v>100</v>
      </c>
      <c r="G13" s="8">
        <v>1</v>
      </c>
      <c r="I13" s="9">
        <f t="shared" si="1"/>
        <v>0.5</v>
      </c>
      <c r="J13" s="9">
        <f t="shared" si="0"/>
        <v>0.3</v>
      </c>
      <c r="K13" s="9">
        <f t="shared" si="0"/>
        <v>1</v>
      </c>
      <c r="L13" s="9">
        <f t="shared" si="0"/>
        <v>1</v>
      </c>
      <c r="M13" s="12"/>
      <c r="N13" s="6" t="b">
        <f t="shared" si="2"/>
        <v>1</v>
      </c>
    </row>
    <row r="14" spans="1:14">
      <c r="A14" s="6" t="s">
        <v>25</v>
      </c>
      <c r="B14" s="6" t="s">
        <v>26</v>
      </c>
      <c r="D14" s="8">
        <v>10</v>
      </c>
      <c r="E14" s="8">
        <v>20</v>
      </c>
      <c r="F14" s="8">
        <v>67</v>
      </c>
      <c r="G14" s="8">
        <v>1</v>
      </c>
      <c r="I14" s="9">
        <f t="shared" si="1"/>
        <v>1</v>
      </c>
      <c r="J14" s="9">
        <f t="shared" si="0"/>
        <v>1</v>
      </c>
      <c r="K14" s="9">
        <f t="shared" si="0"/>
        <v>0.67</v>
      </c>
      <c r="L14" s="9">
        <f t="shared" si="0"/>
        <v>1</v>
      </c>
      <c r="M14" s="12"/>
      <c r="N14" s="6" t="b">
        <f t="shared" si="2"/>
        <v>0</v>
      </c>
    </row>
    <row r="15" spans="1:14">
      <c r="A15" s="6" t="s">
        <v>27</v>
      </c>
      <c r="B15" s="6" t="s">
        <v>28</v>
      </c>
      <c r="D15" s="8">
        <v>9</v>
      </c>
      <c r="E15" s="8">
        <v>20</v>
      </c>
      <c r="F15" s="8">
        <v>70</v>
      </c>
      <c r="G15" s="8">
        <v>1</v>
      </c>
      <c r="I15" s="9">
        <f t="shared" si="1"/>
        <v>0.9</v>
      </c>
      <c r="J15" s="9">
        <f t="shared" si="0"/>
        <v>1</v>
      </c>
      <c r="K15" s="9">
        <f t="shared" si="0"/>
        <v>0.7</v>
      </c>
      <c r="L15" s="9">
        <f t="shared" si="0"/>
        <v>1</v>
      </c>
      <c r="M15" s="12"/>
      <c r="N15" s="6" t="b">
        <f t="shared" si="2"/>
        <v>0</v>
      </c>
    </row>
    <row r="16" spans="1:14">
      <c r="A16" s="6" t="s">
        <v>29</v>
      </c>
      <c r="B16" s="6" t="s">
        <v>30</v>
      </c>
      <c r="D16" s="8">
        <v>10</v>
      </c>
      <c r="E16" s="8">
        <v>19</v>
      </c>
      <c r="F16" s="8">
        <v>80</v>
      </c>
      <c r="G16" s="8">
        <v>1</v>
      </c>
      <c r="I16" s="9">
        <f t="shared" si="1"/>
        <v>1</v>
      </c>
      <c r="J16" s="9">
        <f t="shared" si="0"/>
        <v>0.95</v>
      </c>
      <c r="K16" s="9">
        <f t="shared" si="0"/>
        <v>0.8</v>
      </c>
      <c r="L16" s="9">
        <f t="shared" si="0"/>
        <v>1</v>
      </c>
      <c r="M16" s="12"/>
      <c r="N16" s="6" t="b">
        <f t="shared" si="2"/>
        <v>0</v>
      </c>
    </row>
    <row r="17" spans="1:14">
      <c r="A17" s="6" t="s">
        <v>31</v>
      </c>
      <c r="B17" s="6" t="s">
        <v>32</v>
      </c>
      <c r="D17" s="8">
        <v>8</v>
      </c>
      <c r="E17" s="8">
        <v>17</v>
      </c>
      <c r="F17" s="8">
        <v>90</v>
      </c>
      <c r="G17" s="8">
        <v>1</v>
      </c>
      <c r="I17" s="9">
        <f t="shared" si="1"/>
        <v>0.8</v>
      </c>
      <c r="J17" s="9">
        <f t="shared" si="0"/>
        <v>0.85</v>
      </c>
      <c r="K17" s="9">
        <f t="shared" si="0"/>
        <v>0.9</v>
      </c>
      <c r="L17" s="9">
        <f t="shared" si="0"/>
        <v>1</v>
      </c>
      <c r="M17" s="12"/>
      <c r="N17" s="6" t="b">
        <f t="shared" si="2"/>
        <v>0</v>
      </c>
    </row>
    <row r="18" spans="1:14">
      <c r="A18" s="6" t="s">
        <v>33</v>
      </c>
      <c r="B18" s="6" t="s">
        <v>34</v>
      </c>
      <c r="D18" s="8">
        <v>9</v>
      </c>
      <c r="E18" s="8">
        <v>19</v>
      </c>
      <c r="F18" s="8">
        <v>45</v>
      </c>
      <c r="G18" s="8">
        <v>0</v>
      </c>
      <c r="I18" s="9">
        <f t="shared" si="1"/>
        <v>0.9</v>
      </c>
      <c r="J18" s="9">
        <f t="shared" si="0"/>
        <v>0.95</v>
      </c>
      <c r="K18" s="9">
        <f t="shared" si="0"/>
        <v>0.45</v>
      </c>
      <c r="L18" s="9">
        <f t="shared" si="0"/>
        <v>0</v>
      </c>
      <c r="M18" s="12"/>
      <c r="N18" s="6" t="b">
        <f t="shared" si="2"/>
        <v>1</v>
      </c>
    </row>
    <row r="19" spans="1:14">
      <c r="A19" s="6" t="s">
        <v>35</v>
      </c>
      <c r="B19" s="6" t="s">
        <v>36</v>
      </c>
      <c r="D19" s="8">
        <v>7</v>
      </c>
      <c r="E19" s="8">
        <v>20</v>
      </c>
      <c r="F19" s="8">
        <v>90</v>
      </c>
      <c r="G19" s="8">
        <v>1</v>
      </c>
      <c r="I19" s="9">
        <f t="shared" si="1"/>
        <v>0.7</v>
      </c>
      <c r="J19" s="9">
        <f t="shared" si="0"/>
        <v>1</v>
      </c>
      <c r="K19" s="9">
        <f t="shared" si="0"/>
        <v>0.9</v>
      </c>
      <c r="L19" s="9">
        <f t="shared" si="0"/>
        <v>1</v>
      </c>
      <c r="M19" s="12"/>
      <c r="N19" s="6" t="b">
        <f t="shared" si="2"/>
        <v>0</v>
      </c>
    </row>
    <row r="20" spans="1:14">
      <c r="A20" s="6" t="s">
        <v>37</v>
      </c>
      <c r="B20" s="6" t="s">
        <v>38</v>
      </c>
      <c r="D20" s="8">
        <v>10</v>
      </c>
      <c r="E20" s="8">
        <v>10</v>
      </c>
      <c r="F20" s="8">
        <v>80</v>
      </c>
      <c r="G20" s="8">
        <v>1</v>
      </c>
      <c r="I20" s="9">
        <f t="shared" si="1"/>
        <v>1</v>
      </c>
      <c r="J20" s="9">
        <f t="shared" si="0"/>
        <v>0.5</v>
      </c>
      <c r="K20" s="9">
        <f t="shared" si="0"/>
        <v>0.8</v>
      </c>
      <c r="L20" s="9">
        <f t="shared" si="0"/>
        <v>1</v>
      </c>
      <c r="M20" s="12"/>
      <c r="N20" s="6" t="b">
        <f t="shared" si="2"/>
        <v>0</v>
      </c>
    </row>
    <row r="21" spans="1:14">
      <c r="A21" s="6" t="s">
        <v>39</v>
      </c>
      <c r="B21" s="6" t="s">
        <v>40</v>
      </c>
      <c r="D21" s="8">
        <v>11</v>
      </c>
      <c r="E21" s="8">
        <v>20</v>
      </c>
      <c r="F21" s="8">
        <v>69</v>
      </c>
      <c r="G21" s="8">
        <v>1</v>
      </c>
      <c r="I21" s="9">
        <f t="shared" si="1"/>
        <v>1.1000000000000001</v>
      </c>
      <c r="J21" s="9">
        <f t="shared" si="0"/>
        <v>1</v>
      </c>
      <c r="K21" s="9">
        <f t="shared" si="0"/>
        <v>0.69</v>
      </c>
      <c r="L21" s="9">
        <f t="shared" si="0"/>
        <v>1</v>
      </c>
      <c r="M21" s="12"/>
      <c r="N21" s="6" t="b">
        <f t="shared" si="2"/>
        <v>0</v>
      </c>
    </row>
    <row r="22" spans="1:14">
      <c r="A22" s="6" t="s">
        <v>41</v>
      </c>
      <c r="B22" s="6" t="s">
        <v>42</v>
      </c>
      <c r="D22" s="21">
        <v>10</v>
      </c>
      <c r="E22" s="21">
        <v>14</v>
      </c>
      <c r="F22" s="21">
        <v>90</v>
      </c>
      <c r="G22" s="21">
        <v>1</v>
      </c>
      <c r="I22" s="28">
        <f t="shared" si="1"/>
        <v>1</v>
      </c>
      <c r="J22" s="28">
        <f t="shared" ref="J22" si="3">E22/E$4</f>
        <v>0.7</v>
      </c>
      <c r="K22" s="28">
        <f t="shared" ref="K22" si="4">F22/F$4</f>
        <v>0.9</v>
      </c>
      <c r="L22" s="28">
        <f t="shared" ref="L22" si="5">G22/G$4</f>
        <v>1</v>
      </c>
      <c r="M22" s="12"/>
      <c r="N22" s="6" t="b">
        <f t="shared" si="2"/>
        <v>0</v>
      </c>
    </row>
    <row r="23" spans="1:14">
      <c r="D23" s="22"/>
      <c r="E23" s="23"/>
      <c r="F23" s="23"/>
      <c r="G23" s="24"/>
      <c r="I23" s="30"/>
      <c r="J23" s="31"/>
      <c r="K23" s="31"/>
      <c r="L23" s="32"/>
    </row>
    <row r="24" spans="1:14">
      <c r="D24" s="25"/>
      <c r="E24" s="26"/>
      <c r="F24" s="26"/>
      <c r="G24" s="27"/>
      <c r="I24" s="33"/>
      <c r="J24" s="34"/>
      <c r="K24" s="34"/>
      <c r="L24" s="35"/>
    </row>
    <row r="25" spans="1:14">
      <c r="A25" s="5" t="s">
        <v>43</v>
      </c>
      <c r="D25" s="20">
        <f>MAX(D6:D22)</f>
        <v>11</v>
      </c>
      <c r="E25" s="20">
        <f t="shared" ref="E25:G25" si="6">MAX(E6:E22)</f>
        <v>20</v>
      </c>
      <c r="F25" s="20">
        <f t="shared" si="6"/>
        <v>100</v>
      </c>
      <c r="G25" s="20">
        <f t="shared" si="6"/>
        <v>1</v>
      </c>
      <c r="I25" s="29">
        <f>MAX(I6:I22)</f>
        <v>1.1000000000000001</v>
      </c>
      <c r="J25" s="29">
        <f t="shared" ref="J25:L25" si="7">MAX(J6:J22)</f>
        <v>1</v>
      </c>
      <c r="K25" s="29">
        <f t="shared" si="7"/>
        <v>1</v>
      </c>
      <c r="L25" s="29">
        <f t="shared" si="7"/>
        <v>1</v>
      </c>
    </row>
    <row r="26" spans="1:14">
      <c r="A26" s="5" t="s">
        <v>44</v>
      </c>
      <c r="D26" s="6">
        <f>MIN(D6:D22)</f>
        <v>5</v>
      </c>
      <c r="E26" s="6">
        <f t="shared" ref="E26:G26" si="8">MIN(E6:E22)</f>
        <v>6</v>
      </c>
      <c r="F26" s="6">
        <f t="shared" si="8"/>
        <v>45</v>
      </c>
      <c r="G26" s="6">
        <f t="shared" si="8"/>
        <v>0</v>
      </c>
      <c r="I26" s="10">
        <f>MIN(I6:I22)</f>
        <v>0.5</v>
      </c>
      <c r="J26" s="10">
        <f t="shared" ref="J26:L26" si="9">MIN(J6:J22)</f>
        <v>0.3</v>
      </c>
      <c r="K26" s="10">
        <f t="shared" si="9"/>
        <v>0.45</v>
      </c>
      <c r="L26" s="10">
        <f t="shared" si="9"/>
        <v>0</v>
      </c>
    </row>
    <row r="27" spans="1:14">
      <c r="A27" s="5" t="s">
        <v>45</v>
      </c>
      <c r="D27" s="6">
        <f>AVERAGE(D6:D22)</f>
        <v>8.9411764705882355</v>
      </c>
      <c r="E27" s="6">
        <f t="shared" ref="E27:G27" si="10">AVERAGE(E6:E22)</f>
        <v>16.941176470588236</v>
      </c>
      <c r="F27" s="6">
        <f t="shared" si="10"/>
        <v>81.647058823529406</v>
      </c>
      <c r="G27" s="6">
        <f t="shared" si="10"/>
        <v>0.88235294117647056</v>
      </c>
      <c r="I27" s="10">
        <f>AVERAGE(I6:I22)</f>
        <v>0.89411764705882346</v>
      </c>
      <c r="J27" s="10">
        <f t="shared" ref="J27:L27" si="11">AVERAGE(J6:J22)</f>
        <v>0.84705882352941153</v>
      </c>
      <c r="K27" s="10">
        <f t="shared" si="11"/>
        <v>0.81647058823529417</v>
      </c>
      <c r="L27" s="10">
        <f t="shared" si="11"/>
        <v>0.88235294117647056</v>
      </c>
    </row>
  </sheetData>
  <mergeCells count="1">
    <mergeCell ref="C1:J1"/>
  </mergeCells>
  <conditionalFormatting sqref="D6:D22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6:E22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6:F22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G6:G22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6:L22">
    <cfRule type="cellIs" dxfId="1" priority="2" operator="lessThan">
      <formula>0.5</formula>
    </cfRule>
  </conditionalFormatting>
  <conditionalFormatting sqref="N6:N22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80E1-D877-4EE4-AD06-867A08FABFEC}">
  <dimension ref="A1:D18"/>
  <sheetViews>
    <sheetView workbookViewId="0">
      <selection activeCell="A2" sqref="A2:D18"/>
    </sheetView>
  </sheetViews>
  <sheetFormatPr defaultRowHeight="15"/>
  <sheetData>
    <row r="1" spans="1:4">
      <c r="A1" s="2" t="s">
        <v>46</v>
      </c>
      <c r="B1" s="2" t="s">
        <v>47</v>
      </c>
      <c r="C1" s="2" t="s">
        <v>48</v>
      </c>
      <c r="D1" s="2" t="s">
        <v>49</v>
      </c>
    </row>
    <row r="2" spans="1:4">
      <c r="A2" s="3">
        <v>10</v>
      </c>
      <c r="B2" s="3">
        <v>19</v>
      </c>
      <c r="C2" s="3">
        <v>93</v>
      </c>
      <c r="D2" s="3">
        <v>1</v>
      </c>
    </row>
    <row r="3" spans="1:4">
      <c r="A3" s="3">
        <v>9</v>
      </c>
      <c r="B3" s="3">
        <v>20</v>
      </c>
      <c r="C3" s="3">
        <v>100</v>
      </c>
      <c r="D3" s="3">
        <v>1</v>
      </c>
    </row>
    <row r="4" spans="1:4">
      <c r="A4" s="3">
        <v>8</v>
      </c>
      <c r="B4" s="3">
        <v>17</v>
      </c>
      <c r="C4" s="3">
        <v>82</v>
      </c>
      <c r="D4" s="3">
        <v>1</v>
      </c>
    </row>
    <row r="5" spans="1:4">
      <c r="A5" s="3">
        <v>9</v>
      </c>
      <c r="B5" s="3">
        <v>10</v>
      </c>
      <c r="C5" s="3">
        <v>73</v>
      </c>
      <c r="D5" s="3">
        <v>1</v>
      </c>
    </row>
    <row r="6" spans="1:4">
      <c r="A6" s="3">
        <v>10</v>
      </c>
      <c r="B6" s="3">
        <v>20</v>
      </c>
      <c r="C6" s="3">
        <v>59</v>
      </c>
      <c r="D6" s="3">
        <v>1</v>
      </c>
    </row>
    <row r="7" spans="1:4">
      <c r="A7" s="3">
        <v>9</v>
      </c>
      <c r="B7" s="3">
        <v>17</v>
      </c>
      <c r="C7" s="3">
        <v>100</v>
      </c>
      <c r="D7" s="3">
        <v>1</v>
      </c>
    </row>
    <row r="8" spans="1:4">
      <c r="A8" s="3">
        <v>8</v>
      </c>
      <c r="B8" s="3">
        <v>20</v>
      </c>
      <c r="C8" s="3">
        <v>100</v>
      </c>
      <c r="D8" s="3">
        <v>0</v>
      </c>
    </row>
    <row r="9" spans="1:4">
      <c r="A9" s="3">
        <v>5</v>
      </c>
      <c r="B9" s="3">
        <v>6</v>
      </c>
      <c r="C9" s="3">
        <v>100</v>
      </c>
      <c r="D9" s="3">
        <v>1</v>
      </c>
    </row>
    <row r="10" spans="1:4">
      <c r="A10" s="3">
        <v>10</v>
      </c>
      <c r="B10" s="3">
        <v>20</v>
      </c>
      <c r="C10" s="3">
        <v>67</v>
      </c>
      <c r="D10" s="3">
        <v>1</v>
      </c>
    </row>
    <row r="11" spans="1:4">
      <c r="A11" s="3">
        <v>9</v>
      </c>
      <c r="B11" s="3">
        <v>20</v>
      </c>
      <c r="C11" s="3">
        <v>70</v>
      </c>
      <c r="D11" s="3">
        <v>1</v>
      </c>
    </row>
    <row r="12" spans="1:4">
      <c r="A12" s="3">
        <v>10</v>
      </c>
      <c r="B12" s="3">
        <v>19</v>
      </c>
      <c r="C12" s="3">
        <v>80</v>
      </c>
      <c r="D12" s="3">
        <v>1</v>
      </c>
    </row>
    <row r="13" spans="1:4">
      <c r="A13" s="3">
        <v>8</v>
      </c>
      <c r="B13" s="3">
        <v>17</v>
      </c>
      <c r="C13" s="3">
        <v>90</v>
      </c>
      <c r="D13" s="3">
        <v>1</v>
      </c>
    </row>
    <row r="14" spans="1:4">
      <c r="A14" s="3">
        <v>9</v>
      </c>
      <c r="B14" s="3">
        <v>19</v>
      </c>
      <c r="C14" s="3">
        <v>45</v>
      </c>
      <c r="D14" s="3">
        <v>0</v>
      </c>
    </row>
    <row r="15" spans="1:4">
      <c r="A15" s="3">
        <v>7</v>
      </c>
      <c r="B15" s="3">
        <v>20</v>
      </c>
      <c r="C15" s="3">
        <v>90</v>
      </c>
      <c r="D15" s="3">
        <v>1</v>
      </c>
    </row>
    <row r="16" spans="1:4">
      <c r="A16" s="3">
        <v>10</v>
      </c>
      <c r="B16" s="3">
        <v>10</v>
      </c>
      <c r="C16" s="3">
        <v>80</v>
      </c>
      <c r="D16" s="3">
        <v>1</v>
      </c>
    </row>
    <row r="17" spans="1:4">
      <c r="A17" s="3">
        <v>11</v>
      </c>
      <c r="B17" s="3">
        <v>20</v>
      </c>
      <c r="C17" s="3">
        <v>69</v>
      </c>
      <c r="D17" s="3">
        <v>1</v>
      </c>
    </row>
    <row r="18" spans="1:4">
      <c r="A18" s="4">
        <v>10</v>
      </c>
      <c r="B18" s="4">
        <v>14</v>
      </c>
      <c r="C18" s="4">
        <v>90</v>
      </c>
      <c r="D1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2026-08-28T13:32:23Z</dcterms:created>
  <dcterms:modified xsi:type="dcterms:W3CDTF">2026-08-28T15:10:21Z</dcterms:modified>
  <cp:category/>
  <cp:contentStatus/>
</cp:coreProperties>
</file>